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USER\Documents\"/>
    </mc:Choice>
  </mc:AlternateContent>
  <bookViews>
    <workbookView xWindow="0" yWindow="0" windowWidth="19200" windowHeight="7190" activeTab="1"/>
  </bookViews>
  <sheets>
    <sheet name="class_survey_results_v2" sheetId="1" r:id="rId1"/>
    <sheet name="Sheet1" sheetId="2" r:id="rId2"/>
  </sheets>
  <calcPr calcId="152511"/>
</workbook>
</file>

<file path=xl/calcChain.xml><?xml version="1.0" encoding="utf-8"?>
<calcChain xmlns="http://schemas.openxmlformats.org/spreadsheetml/2006/main">
  <c r="B7" i="2" l="1"/>
  <c r="I7" i="1"/>
  <c r="M3" i="1" l="1"/>
  <c r="M4" i="1"/>
  <c r="M5" i="1"/>
  <c r="M2" i="1"/>
  <c r="K3" i="1"/>
  <c r="K4" i="1"/>
  <c r="K5" i="1"/>
  <c r="K2" i="1"/>
  <c r="H3" i="1" l="1"/>
  <c r="I3" i="1" s="1"/>
  <c r="H4" i="1"/>
  <c r="I4" i="1" s="1"/>
  <c r="H5" i="1"/>
  <c r="I5" i="1" s="1"/>
  <c r="H2" i="1"/>
  <c r="I2" i="1" s="1"/>
</calcChain>
</file>

<file path=xl/sharedStrings.xml><?xml version="1.0" encoding="utf-8"?>
<sst xmlns="http://schemas.openxmlformats.org/spreadsheetml/2006/main" count="73" uniqueCount="30">
  <si>
    <t>Student ID</t>
  </si>
  <si>
    <t>Favorite Subject</t>
  </si>
  <si>
    <t>Study Hours per Week</t>
  </si>
  <si>
    <t>Preferred Learning Method</t>
  </si>
  <si>
    <t>Device Used for Learning</t>
  </si>
  <si>
    <t>Test Score (%)</t>
  </si>
  <si>
    <t>Math</t>
  </si>
  <si>
    <t>Visual</t>
  </si>
  <si>
    <t>Laptop</t>
  </si>
  <si>
    <t>Science</t>
  </si>
  <si>
    <t>Auditory</t>
  </si>
  <si>
    <t>Tablet</t>
  </si>
  <si>
    <t>English</t>
  </si>
  <si>
    <t>Reading/Writing</t>
  </si>
  <si>
    <t>Desktop</t>
  </si>
  <si>
    <t>History</t>
  </si>
  <si>
    <t>Kinesthetic</t>
  </si>
  <si>
    <t>Smartphone</t>
  </si>
  <si>
    <t>subject</t>
  </si>
  <si>
    <t>frequency</t>
  </si>
  <si>
    <t>learning method</t>
  </si>
  <si>
    <t>prefered device</t>
  </si>
  <si>
    <t>math</t>
  </si>
  <si>
    <t>eng</t>
  </si>
  <si>
    <t>phy</t>
  </si>
  <si>
    <t>chem</t>
  </si>
  <si>
    <t>name</t>
  </si>
  <si>
    <t>aisha</t>
  </si>
  <si>
    <t>belo</t>
  </si>
  <si>
    <t>musa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</si>
</sst>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1">
    <xf numFmtId="0" fontId="0" fillId="0" borderId="0" xfId="0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6"/>
  <sheetViews>
    <sheetView topLeftCell="D1" workbookViewId="0">
      <selection activeCell="H16" sqref="H16"/>
    </sheetView>
  </sheetViews>
  <sheetFormatPr defaultRowHeight="14.5" x14ac:dyDescent="0.35"/>
  <cols>
    <col min="1" max="1" width="15.90625" customWidth="1"/>
    <col min="2" max="2" width="23.36328125" customWidth="1"/>
    <col min="3" max="3" width="25.1796875" customWidth="1"/>
    <col min="4" max="4" width="26.90625" customWidth="1"/>
    <col min="5" max="5" width="24.90625" customWidth="1"/>
    <col min="8" max="8" width="12.90625" customWidth="1"/>
    <col min="9" max="9" width="11" customWidth="1"/>
    <col min="10" max="10" width="16.1796875" customWidth="1"/>
    <col min="11" max="11" width="9.6328125" customWidth="1"/>
    <col min="12" max="12" width="14" customWidth="1"/>
  </cols>
  <sheetData>
    <row r="1" spans="1:13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H1" t="s">
        <v>18</v>
      </c>
      <c r="I1" t="s">
        <v>19</v>
      </c>
      <c r="J1" t="s">
        <v>20</v>
      </c>
      <c r="K1" t="s">
        <v>19</v>
      </c>
      <c r="L1" t="s">
        <v>21</v>
      </c>
      <c r="M1" t="s">
        <v>19</v>
      </c>
    </row>
    <row r="2" spans="1:13" x14ac:dyDescent="0.35">
      <c r="A2">
        <v>101</v>
      </c>
      <c r="B2" t="s">
        <v>6</v>
      </c>
      <c r="C2">
        <v>10</v>
      </c>
      <c r="D2" t="s">
        <v>7</v>
      </c>
      <c r="E2" t="s">
        <v>8</v>
      </c>
      <c r="F2">
        <v>85</v>
      </c>
      <c r="H2" t="str">
        <f>B2</f>
        <v>Math</v>
      </c>
      <c r="I2">
        <f>COUNTIF(B2:B16,H2)</f>
        <v>4</v>
      </c>
      <c r="J2" t="s">
        <v>7</v>
      </c>
      <c r="K2">
        <f>COUNTIF($D$2:$D$16,J2)</f>
        <v>5</v>
      </c>
      <c r="L2" t="s">
        <v>8</v>
      </c>
      <c r="M2">
        <f>COUNTIF($E$2:$E$16,L2)</f>
        <v>6</v>
      </c>
    </row>
    <row r="3" spans="1:13" x14ac:dyDescent="0.35">
      <c r="A3">
        <v>102</v>
      </c>
      <c r="B3" t="s">
        <v>9</v>
      </c>
      <c r="C3">
        <v>8</v>
      </c>
      <c r="D3" t="s">
        <v>10</v>
      </c>
      <c r="E3" t="s">
        <v>11</v>
      </c>
      <c r="F3">
        <v>78</v>
      </c>
      <c r="H3" t="str">
        <f t="shared" ref="H3:H5" si="0">B3</f>
        <v>Science</v>
      </c>
      <c r="I3">
        <f t="shared" ref="I3:I5" si="1">COUNTIF(B3:B17,H3)</f>
        <v>5</v>
      </c>
      <c r="J3" t="s">
        <v>10</v>
      </c>
      <c r="K3">
        <f t="shared" ref="K3:K5" si="2">COUNTIF($D$2:$D$16,J3)</f>
        <v>3</v>
      </c>
      <c r="L3" t="s">
        <v>11</v>
      </c>
      <c r="M3">
        <f t="shared" ref="M3:M5" si="3">COUNTIF($E$2:$E$16,L3)</f>
        <v>4</v>
      </c>
    </row>
    <row r="4" spans="1:13" x14ac:dyDescent="0.35">
      <c r="A4">
        <v>103</v>
      </c>
      <c r="B4" t="s">
        <v>12</v>
      </c>
      <c r="C4">
        <v>12</v>
      </c>
      <c r="D4" t="s">
        <v>13</v>
      </c>
      <c r="E4" t="s">
        <v>14</v>
      </c>
      <c r="F4">
        <v>90</v>
      </c>
      <c r="H4" t="str">
        <f t="shared" si="0"/>
        <v>English</v>
      </c>
      <c r="I4">
        <f t="shared" si="1"/>
        <v>3</v>
      </c>
      <c r="J4" t="s">
        <v>13</v>
      </c>
      <c r="K4">
        <f t="shared" si="2"/>
        <v>4</v>
      </c>
      <c r="L4" t="s">
        <v>14</v>
      </c>
      <c r="M4">
        <f t="shared" si="3"/>
        <v>3</v>
      </c>
    </row>
    <row r="5" spans="1:13" x14ac:dyDescent="0.35">
      <c r="A5">
        <v>104</v>
      </c>
      <c r="B5" t="s">
        <v>15</v>
      </c>
      <c r="C5">
        <v>6</v>
      </c>
      <c r="D5" t="s">
        <v>16</v>
      </c>
      <c r="E5" t="s">
        <v>17</v>
      </c>
      <c r="F5">
        <v>70</v>
      </c>
      <c r="H5" t="str">
        <f t="shared" si="0"/>
        <v>History</v>
      </c>
      <c r="I5">
        <f t="shared" si="1"/>
        <v>3</v>
      </c>
      <c r="J5" t="s">
        <v>16</v>
      </c>
      <c r="K5">
        <f t="shared" si="2"/>
        <v>3</v>
      </c>
      <c r="L5" t="s">
        <v>17</v>
      </c>
      <c r="M5">
        <f t="shared" si="3"/>
        <v>2</v>
      </c>
    </row>
    <row r="6" spans="1:13" x14ac:dyDescent="0.35">
      <c r="A6">
        <v>105</v>
      </c>
      <c r="B6" t="s">
        <v>6</v>
      </c>
      <c r="C6">
        <v>15</v>
      </c>
      <c r="D6" t="s">
        <v>7</v>
      </c>
      <c r="E6" t="s">
        <v>8</v>
      </c>
      <c r="F6">
        <v>92</v>
      </c>
    </row>
    <row r="7" spans="1:13" x14ac:dyDescent="0.35">
      <c r="A7">
        <v>106</v>
      </c>
      <c r="B7" t="s">
        <v>9</v>
      </c>
      <c r="C7">
        <v>7</v>
      </c>
      <c r="D7" t="s">
        <v>13</v>
      </c>
      <c r="E7" t="s">
        <v>11</v>
      </c>
      <c r="F7">
        <v>80</v>
      </c>
      <c r="I7" t="str">
        <f>INDEX($H$2:$H$5, MATCH(MAX($I2:$I$5),$I$2:$I$5,0),1)</f>
        <v>Science</v>
      </c>
    </row>
    <row r="8" spans="1:13" x14ac:dyDescent="0.35">
      <c r="A8">
        <v>107</v>
      </c>
      <c r="B8" t="s">
        <v>12</v>
      </c>
      <c r="C8">
        <v>9</v>
      </c>
      <c r="D8" t="s">
        <v>7</v>
      </c>
      <c r="E8" t="s">
        <v>17</v>
      </c>
      <c r="F8">
        <v>75</v>
      </c>
    </row>
    <row r="9" spans="1:13" x14ac:dyDescent="0.35">
      <c r="A9">
        <v>108</v>
      </c>
      <c r="B9" t="s">
        <v>15</v>
      </c>
      <c r="C9">
        <v>5</v>
      </c>
      <c r="D9" t="s">
        <v>10</v>
      </c>
      <c r="E9" t="s">
        <v>8</v>
      </c>
      <c r="F9">
        <v>65</v>
      </c>
    </row>
    <row r="10" spans="1:13" x14ac:dyDescent="0.35">
      <c r="A10">
        <v>109</v>
      </c>
      <c r="B10" t="s">
        <v>9</v>
      </c>
      <c r="C10">
        <v>14</v>
      </c>
      <c r="D10" t="s">
        <v>16</v>
      </c>
      <c r="E10" t="s">
        <v>14</v>
      </c>
      <c r="F10">
        <v>88</v>
      </c>
    </row>
    <row r="11" spans="1:13" x14ac:dyDescent="0.35">
      <c r="A11">
        <v>110</v>
      </c>
      <c r="B11" t="s">
        <v>6</v>
      </c>
      <c r="C11">
        <v>11</v>
      </c>
      <c r="D11" t="s">
        <v>13</v>
      </c>
      <c r="E11" t="s">
        <v>11</v>
      </c>
      <c r="F11">
        <v>82</v>
      </c>
    </row>
    <row r="12" spans="1:13" x14ac:dyDescent="0.35">
      <c r="A12">
        <v>111</v>
      </c>
      <c r="B12" t="s">
        <v>12</v>
      </c>
      <c r="C12">
        <v>13</v>
      </c>
      <c r="D12" t="s">
        <v>7</v>
      </c>
      <c r="E12" t="s">
        <v>8</v>
      </c>
      <c r="F12">
        <v>91</v>
      </c>
    </row>
    <row r="13" spans="1:13" x14ac:dyDescent="0.35">
      <c r="A13">
        <v>112</v>
      </c>
      <c r="B13" t="s">
        <v>9</v>
      </c>
      <c r="C13">
        <v>9</v>
      </c>
      <c r="D13" t="s">
        <v>10</v>
      </c>
      <c r="E13" t="s">
        <v>8</v>
      </c>
      <c r="F13">
        <v>77</v>
      </c>
    </row>
    <row r="14" spans="1:13" x14ac:dyDescent="0.35">
      <c r="A14">
        <v>113</v>
      </c>
      <c r="B14" t="s">
        <v>6</v>
      </c>
      <c r="C14">
        <v>16</v>
      </c>
      <c r="D14" t="s">
        <v>16</v>
      </c>
      <c r="E14" t="s">
        <v>11</v>
      </c>
      <c r="F14">
        <v>84</v>
      </c>
    </row>
    <row r="15" spans="1:13" x14ac:dyDescent="0.35">
      <c r="A15">
        <v>114</v>
      </c>
      <c r="B15" t="s">
        <v>15</v>
      </c>
      <c r="C15">
        <v>6</v>
      </c>
      <c r="D15" t="s">
        <v>13</v>
      </c>
      <c r="E15" t="s">
        <v>8</v>
      </c>
      <c r="F15">
        <v>73</v>
      </c>
    </row>
    <row r="16" spans="1:13" x14ac:dyDescent="0.35">
      <c r="A16">
        <v>115</v>
      </c>
      <c r="B16" t="s">
        <v>9</v>
      </c>
      <c r="C16">
        <v>10</v>
      </c>
      <c r="D16" t="s">
        <v>7</v>
      </c>
      <c r="E16" t="s">
        <v>14</v>
      </c>
      <c r="F16">
        <v>86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7"/>
  <sheetViews>
    <sheetView tabSelected="1" workbookViewId="0">
      <selection activeCell="B7" sqref="B7"/>
    </sheetView>
  </sheetViews>
  <sheetFormatPr defaultRowHeight="14.5" x14ac:dyDescent="0.35"/>
  <sheetData>
    <row r="1" spans="1:5" x14ac:dyDescent="0.35">
      <c r="A1" t="s">
        <v>22</v>
      </c>
      <c r="B1" t="s">
        <v>23</v>
      </c>
      <c r="C1" t="s">
        <v>24</v>
      </c>
      <c r="D1" t="s">
        <v>25</v>
      </c>
      <c r="E1" t="s">
        <v>26</v>
      </c>
    </row>
    <row r="2" spans="1:5" x14ac:dyDescent="0.35">
      <c r="A2">
        <v>30</v>
      </c>
      <c r="B2">
        <v>50</v>
      </c>
      <c r="C2">
        <v>35</v>
      </c>
      <c r="D2">
        <v>40</v>
      </c>
      <c r="E2" t="s">
        <v>27</v>
      </c>
    </row>
    <row r="3" spans="1:5" x14ac:dyDescent="0.35">
      <c r="A3">
        <v>26</v>
      </c>
      <c r="B3">
        <v>33</v>
      </c>
      <c r="C3">
        <v>48</v>
      </c>
      <c r="D3">
        <v>37</v>
      </c>
      <c r="E3" t="s">
        <v>28</v>
      </c>
    </row>
    <row r="4" spans="1:5" x14ac:dyDescent="0.35">
      <c r="A4">
        <v>18</v>
      </c>
      <c r="B4">
        <v>25</v>
      </c>
      <c r="C4">
        <v>62</v>
      </c>
      <c r="D4">
        <v>43</v>
      </c>
      <c r="E4" t="s">
        <v>29</v>
      </c>
    </row>
    <row r="7" spans="1:5" x14ac:dyDescent="0.35">
      <c r="B7">
        <f>INDEX($A$2:$D$4,MATCH("belo",$E$2:$E$4,0),MATCH("phy",$A$1:$D$1,0))</f>
        <v>48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class_survey_results_v2</vt:lpstr>
      <vt:lpstr>Sheet1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precious Alazigha</dc:creator>
  <cp:lastModifiedBy>USER</cp:lastModifiedBy>
  <dcterms:created xsi:type="dcterms:W3CDTF">2026-05-15T09:21:43Z</dcterms:created>
  <dcterms:modified xsi:type="dcterms:W3CDTF">2026-06-05T09:48:39Z</dcterms:modified>
</cp:coreProperties>
</file>