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data-analytics-repo\excel-projects\"/>
    </mc:Choice>
  </mc:AlternateContent>
  <xr:revisionPtr revIDLastSave="0" documentId="13_ncr:1_{DC079671-7E65-4473-9B66-EA81CCB0E1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ass_survey_results_v2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K11" i="1"/>
  <c r="H15" i="1"/>
  <c r="I10" i="1" l="1"/>
  <c r="I9" i="1"/>
  <c r="B7" i="2" l="1"/>
  <c r="M3" i="1" l="1"/>
  <c r="M4" i="1"/>
  <c r="M5" i="1"/>
  <c r="M2" i="1"/>
  <c r="K3" i="1"/>
  <c r="K4" i="1"/>
  <c r="K5" i="1"/>
  <c r="K2" i="1"/>
  <c r="J9" i="1" l="1"/>
  <c r="J10" i="1"/>
  <c r="J7" i="1"/>
  <c r="M6" i="1"/>
  <c r="M7" i="1"/>
  <c r="M8" i="1"/>
  <c r="H3" i="1"/>
  <c r="I3" i="1" s="1"/>
  <c r="H4" i="1"/>
  <c r="I4" i="1" s="1"/>
  <c r="H5" i="1"/>
  <c r="I5" i="1" s="1"/>
  <c r="H2" i="1"/>
  <c r="I2" i="1" s="1"/>
  <c r="I7" i="1" s="1"/>
</calcChain>
</file>

<file path=xl/sharedStrings.xml><?xml version="1.0" encoding="utf-8"?>
<sst xmlns="http://schemas.openxmlformats.org/spreadsheetml/2006/main" count="75" uniqueCount="32">
  <si>
    <t>Student ID</t>
  </si>
  <si>
    <t>Favorite Subject</t>
  </si>
  <si>
    <t>Study Hours per Week</t>
  </si>
  <si>
    <t>Preferred Learning Method</t>
  </si>
  <si>
    <t>Device Used for Learning</t>
  </si>
  <si>
    <t>Test Score (%)</t>
  </si>
  <si>
    <t>Math</t>
  </si>
  <si>
    <t>Visual</t>
  </si>
  <si>
    <t>Laptop</t>
  </si>
  <si>
    <t>Science</t>
  </si>
  <si>
    <t>Auditory</t>
  </si>
  <si>
    <t>Tablet</t>
  </si>
  <si>
    <t>English</t>
  </si>
  <si>
    <t>Reading/Writing</t>
  </si>
  <si>
    <t>Desktop</t>
  </si>
  <si>
    <t>History</t>
  </si>
  <si>
    <t>Kinesthetic</t>
  </si>
  <si>
    <t>Smartphone</t>
  </si>
  <si>
    <t>subject</t>
  </si>
  <si>
    <t>frequency</t>
  </si>
  <si>
    <t>learning method</t>
  </si>
  <si>
    <t>prefered device</t>
  </si>
  <si>
    <t>math</t>
  </si>
  <si>
    <t>eng</t>
  </si>
  <si>
    <t>phy</t>
  </si>
  <si>
    <t>chem</t>
  </si>
  <si>
    <t>name</t>
  </si>
  <si>
    <t>aisha</t>
  </si>
  <si>
    <t>belo</t>
  </si>
  <si>
    <t>musa</t>
  </si>
  <si>
    <t>study hour</t>
  </si>
  <si>
    <t>Test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</si>
</sst>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class_survey_results_v2!$N$1</c:f>
              <c:strCache>
                <c:ptCount val="1"/>
                <c:pt idx="0">
                  <c:v>study hour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class_survey_results_v2!$N$2:$N$16</c:f>
              <c:numCache>
                <c:formatCode>General</c:formatCode>
                <c:ptCount val="15"/>
                <c:pt idx="0">
                  <c:v>5</c:v>
                </c:pt>
                <c:pt idx="1">
                  <c:v>6</c:v>
                </c:pt>
                <c:pt idx="2">
                  <c:v>6</c:v>
                </c:pt>
                <c:pt idx="3">
                  <c:v>9</c:v>
                </c:pt>
                <c:pt idx="4">
                  <c:v>9</c:v>
                </c:pt>
                <c:pt idx="5">
                  <c:v>8</c:v>
                </c:pt>
                <c:pt idx="6">
                  <c:v>7</c:v>
                </c:pt>
                <c:pt idx="7">
                  <c:v>11</c:v>
                </c:pt>
                <c:pt idx="8">
                  <c:v>16</c:v>
                </c:pt>
                <c:pt idx="9">
                  <c:v>10</c:v>
                </c:pt>
                <c:pt idx="10">
                  <c:v>10</c:v>
                </c:pt>
                <c:pt idx="11">
                  <c:v>14</c:v>
                </c:pt>
                <c:pt idx="12">
                  <c:v>12</c:v>
                </c:pt>
                <c:pt idx="13">
                  <c:v>13</c:v>
                </c:pt>
                <c:pt idx="1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5E-421E-8CF4-D2AC6D993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7225232"/>
        <c:axId val="367225712"/>
      </c:barChart>
      <c:lineChart>
        <c:grouping val="standard"/>
        <c:varyColors val="0"/>
        <c:ser>
          <c:idx val="1"/>
          <c:order val="1"/>
          <c:tx>
            <c:strRef>
              <c:f>class_survey_results_v2!$O$1</c:f>
              <c:strCache>
                <c:ptCount val="1"/>
                <c:pt idx="0">
                  <c:v>Test score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class_survey_results_v2!$O$2:$O$16</c:f>
              <c:numCache>
                <c:formatCode>General</c:formatCode>
                <c:ptCount val="15"/>
                <c:pt idx="0">
                  <c:v>65</c:v>
                </c:pt>
                <c:pt idx="1">
                  <c:v>70</c:v>
                </c:pt>
                <c:pt idx="2">
                  <c:v>73</c:v>
                </c:pt>
                <c:pt idx="3">
                  <c:v>75</c:v>
                </c:pt>
                <c:pt idx="4">
                  <c:v>77</c:v>
                </c:pt>
                <c:pt idx="5">
                  <c:v>78</c:v>
                </c:pt>
                <c:pt idx="6">
                  <c:v>80</c:v>
                </c:pt>
                <c:pt idx="7">
                  <c:v>82</c:v>
                </c:pt>
                <c:pt idx="8">
                  <c:v>84</c:v>
                </c:pt>
                <c:pt idx="9">
                  <c:v>85</c:v>
                </c:pt>
                <c:pt idx="10">
                  <c:v>86</c:v>
                </c:pt>
                <c:pt idx="11">
                  <c:v>88</c:v>
                </c:pt>
                <c:pt idx="12">
                  <c:v>90</c:v>
                </c:pt>
                <c:pt idx="13">
                  <c:v>91</c:v>
                </c:pt>
                <c:pt idx="14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5E-421E-8CF4-D2AC6D993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672864"/>
        <c:axId val="793677184"/>
      </c:lineChart>
      <c:catAx>
        <c:axId val="3672252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225712"/>
        <c:auto val="1"/>
        <c:lblAlgn val="ctr"/>
        <c:lblOffset val="100"/>
        <c:noMultiLvlLbl val="0"/>
      </c:catAx>
      <c:valAx>
        <c:axId val="36722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225232"/>
        <c:crossBetween val="between"/>
      </c:valAx>
      <c:valAx>
        <c:axId val="7936771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672864"/>
        <c:crosses val="max"/>
        <c:crossBetween val="between"/>
      </c:valAx>
      <c:catAx>
        <c:axId val="793672864"/>
        <c:scaling>
          <c:orientation val="minMax"/>
        </c:scaling>
        <c:delete val="1"/>
        <c:axPos val="b"/>
        <c:majorTickMark val="out"/>
        <c:minorTickMark val="none"/>
        <c:tickLblPos val="nextTo"/>
        <c:crossAx val="79367718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194469</xdr:colOff>
      <xdr:row>1</xdr:row>
      <xdr:rowOff>148432</xdr:rowOff>
    </xdr:from>
    <xdr:to>
      <xdr:col>22</xdr:col>
      <xdr:colOff>488157</xdr:colOff>
      <xdr:row>13</xdr:row>
      <xdr:rowOff>34132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0BE534-82BD-3EDD-5E67-7FA57BF86C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E420754-0849-4AE0-B80C-2A4AAA5E1CBB}">
  <we:reference id="wa200010215" version="2.0.0.0" store="en-US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topLeftCell="E1" zoomScale="80" zoomScaleNormal="80" workbookViewId="0">
      <selection activeCell="K11" sqref="K11"/>
    </sheetView>
  </sheetViews>
  <sheetFormatPr defaultRowHeight="18.5" x14ac:dyDescent="0.45"/>
  <cols>
    <col min="1" max="1" width="15.90625" style="1" customWidth="1"/>
    <col min="2" max="2" width="23.36328125" style="1" customWidth="1"/>
    <col min="3" max="3" width="25.1796875" style="1" customWidth="1"/>
    <col min="4" max="4" width="26.90625" style="1" customWidth="1"/>
    <col min="5" max="5" width="24.90625" style="1" customWidth="1"/>
    <col min="6" max="7" width="8.7265625" style="1"/>
    <col min="8" max="8" width="12.90625" style="1" customWidth="1"/>
    <col min="9" max="9" width="11" style="1" customWidth="1"/>
    <col min="10" max="10" width="16.1796875" style="1" customWidth="1"/>
    <col min="11" max="11" width="9.6328125" style="1" customWidth="1"/>
    <col min="12" max="12" width="14" style="1" customWidth="1"/>
    <col min="13" max="13" width="11.453125" style="1" customWidth="1"/>
    <col min="14" max="14" width="15.1796875" style="1" customWidth="1"/>
    <col min="15" max="15" width="11.26953125" style="1" customWidth="1"/>
    <col min="16" max="16384" width="8.7265625" style="1"/>
  </cols>
  <sheetData>
    <row r="1" spans="1: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18</v>
      </c>
      <c r="I1" s="1" t="s">
        <v>19</v>
      </c>
      <c r="J1" s="1" t="s">
        <v>20</v>
      </c>
      <c r="K1" s="1" t="s">
        <v>19</v>
      </c>
      <c r="L1" s="1" t="s">
        <v>21</v>
      </c>
      <c r="M1" s="1" t="s">
        <v>19</v>
      </c>
      <c r="N1" s="1" t="s">
        <v>30</v>
      </c>
      <c r="O1" s="1" t="s">
        <v>31</v>
      </c>
    </row>
    <row r="2" spans="1:15" x14ac:dyDescent="0.45">
      <c r="A2" s="1">
        <v>101</v>
      </c>
      <c r="B2" s="1" t="s">
        <v>6</v>
      </c>
      <c r="C2" s="1">
        <v>10</v>
      </c>
      <c r="D2" s="1" t="s">
        <v>7</v>
      </c>
      <c r="E2" s="1" t="s">
        <v>8</v>
      </c>
      <c r="F2" s="1">
        <v>85</v>
      </c>
      <c r="H2" s="1" t="str">
        <f>B2</f>
        <v>Math</v>
      </c>
      <c r="I2" s="1">
        <f>COUNTIF(B2:B16,H2)</f>
        <v>4</v>
      </c>
      <c r="J2" s="1" t="s">
        <v>7</v>
      </c>
      <c r="K2" s="1">
        <f>COUNTIF($D$2:$D$16,J2)</f>
        <v>5</v>
      </c>
      <c r="L2" s="1" t="s">
        <v>8</v>
      </c>
      <c r="M2" s="1">
        <f>COUNTIF($E$2:$E$16,L2)</f>
        <v>6</v>
      </c>
      <c r="N2" s="1">
        <v>5</v>
      </c>
      <c r="O2" s="1">
        <v>65</v>
      </c>
    </row>
    <row r="3" spans="1:15" x14ac:dyDescent="0.45">
      <c r="A3" s="1">
        <v>102</v>
      </c>
      <c r="B3" s="1" t="s">
        <v>9</v>
      </c>
      <c r="C3" s="1">
        <v>8</v>
      </c>
      <c r="D3" s="1" t="s">
        <v>10</v>
      </c>
      <c r="E3" s="1" t="s">
        <v>11</v>
      </c>
      <c r="F3" s="1">
        <v>78</v>
      </c>
      <c r="H3" s="1" t="str">
        <f t="shared" ref="H3:H5" si="0">B3</f>
        <v>Science</v>
      </c>
      <c r="I3" s="1">
        <f t="shared" ref="I3:I5" si="1">COUNTIF(B3:B17,H3)</f>
        <v>5</v>
      </c>
      <c r="J3" s="1" t="s">
        <v>10</v>
      </c>
      <c r="K3" s="1">
        <f t="shared" ref="K3:K5" si="2">COUNTIF($D$2:$D$16,J3)</f>
        <v>3</v>
      </c>
      <c r="L3" s="1" t="s">
        <v>11</v>
      </c>
      <c r="M3" s="1">
        <f t="shared" ref="M3:M5" si="3">COUNTIF($E$2:$E$16,L3)</f>
        <v>4</v>
      </c>
      <c r="N3" s="1">
        <v>6</v>
      </c>
      <c r="O3" s="1">
        <v>70</v>
      </c>
    </row>
    <row r="4" spans="1:15" x14ac:dyDescent="0.45">
      <c r="A4" s="1">
        <v>103</v>
      </c>
      <c r="B4" s="1" t="s">
        <v>12</v>
      </c>
      <c r="C4" s="1">
        <v>12</v>
      </c>
      <c r="D4" s="1" t="s">
        <v>13</v>
      </c>
      <c r="E4" s="1" t="s">
        <v>14</v>
      </c>
      <c r="F4" s="1">
        <v>90</v>
      </c>
      <c r="H4" s="1" t="str">
        <f t="shared" si="0"/>
        <v>English</v>
      </c>
      <c r="I4" s="1">
        <f t="shared" si="1"/>
        <v>3</v>
      </c>
      <c r="J4" s="1" t="s">
        <v>13</v>
      </c>
      <c r="K4" s="1">
        <f t="shared" si="2"/>
        <v>4</v>
      </c>
      <c r="L4" s="1" t="s">
        <v>14</v>
      </c>
      <c r="M4" s="1">
        <f t="shared" si="3"/>
        <v>3</v>
      </c>
      <c r="N4" s="1">
        <v>6</v>
      </c>
      <c r="O4" s="1">
        <v>73</v>
      </c>
    </row>
    <row r="5" spans="1:15" x14ac:dyDescent="0.45">
      <c r="A5" s="1">
        <v>104</v>
      </c>
      <c r="B5" s="1" t="s">
        <v>15</v>
      </c>
      <c r="C5" s="1">
        <v>6</v>
      </c>
      <c r="D5" s="1" t="s">
        <v>16</v>
      </c>
      <c r="E5" s="1" t="s">
        <v>17</v>
      </c>
      <c r="F5" s="1">
        <v>70</v>
      </c>
      <c r="H5" s="1" t="str">
        <f t="shared" si="0"/>
        <v>History</v>
      </c>
      <c r="I5" s="1">
        <f t="shared" si="1"/>
        <v>3</v>
      </c>
      <c r="J5" s="1" t="s">
        <v>16</v>
      </c>
      <c r="K5" s="1">
        <f t="shared" si="2"/>
        <v>3</v>
      </c>
      <c r="L5" s="1" t="s">
        <v>17</v>
      </c>
      <c r="M5" s="1">
        <f t="shared" si="3"/>
        <v>2</v>
      </c>
      <c r="N5" s="1">
        <v>9</v>
      </c>
      <c r="O5" s="1">
        <v>75</v>
      </c>
    </row>
    <row r="6" spans="1:15" x14ac:dyDescent="0.45">
      <c r="A6" s="1">
        <v>105</v>
      </c>
      <c r="B6" s="1" t="s">
        <v>6</v>
      </c>
      <c r="C6" s="1">
        <v>15</v>
      </c>
      <c r="D6" s="1" t="s">
        <v>7</v>
      </c>
      <c r="E6" s="1" t="s">
        <v>8</v>
      </c>
      <c r="F6" s="1">
        <v>92</v>
      </c>
      <c r="M6" s="1">
        <f>MATCH(MAX($M$2:$M$5),$M$2:$M$5,0)</f>
        <v>1</v>
      </c>
      <c r="N6" s="1">
        <v>9</v>
      </c>
      <c r="O6" s="1">
        <v>77</v>
      </c>
    </row>
    <row r="7" spans="1:15" x14ac:dyDescent="0.45">
      <c r="A7" s="1">
        <v>106</v>
      </c>
      <c r="B7" s="1" t="s">
        <v>9</v>
      </c>
      <c r="C7" s="1">
        <v>7</v>
      </c>
      <c r="D7" s="1" t="s">
        <v>13</v>
      </c>
      <c r="E7" s="1" t="s">
        <v>11</v>
      </c>
      <c r="F7" s="1">
        <v>80</v>
      </c>
      <c r="I7" s="1" t="str">
        <f>INDEX($H$2:$H$5, MATCH(MAX($I2:$I$5),$I$2:$I$5,0),1)</f>
        <v>Science</v>
      </c>
      <c r="J7" s="1">
        <f>MAX($K$2:$K$5)</f>
        <v>5</v>
      </c>
      <c r="M7" s="1">
        <f>MAX($M$2:$M$5)</f>
        <v>6</v>
      </c>
      <c r="N7" s="1">
        <v>8</v>
      </c>
      <c r="O7" s="1">
        <v>78</v>
      </c>
    </row>
    <row r="8" spans="1:15" x14ac:dyDescent="0.45">
      <c r="A8" s="1">
        <v>107</v>
      </c>
      <c r="B8" s="1" t="s">
        <v>12</v>
      </c>
      <c r="C8" s="1">
        <v>9</v>
      </c>
      <c r="D8" s="1" t="s">
        <v>7</v>
      </c>
      <c r="E8" s="1" t="s">
        <v>17</v>
      </c>
      <c r="F8" s="1">
        <v>75</v>
      </c>
      <c r="M8" s="1" t="str">
        <f>INDEX($L$2:$L$5,MATCH(MAX($M$2:$M$5),$M$2:$M$5,0))</f>
        <v>Laptop</v>
      </c>
      <c r="N8" s="1">
        <v>7</v>
      </c>
      <c r="O8" s="1">
        <v>80</v>
      </c>
    </row>
    <row r="9" spans="1:15" x14ac:dyDescent="0.45">
      <c r="A9" s="1">
        <v>108</v>
      </c>
      <c r="B9" s="1" t="s">
        <v>15</v>
      </c>
      <c r="C9" s="1">
        <v>5</v>
      </c>
      <c r="D9" s="1" t="s">
        <v>10</v>
      </c>
      <c r="E9" s="1" t="s">
        <v>8</v>
      </c>
      <c r="F9" s="1">
        <v>65</v>
      </c>
      <c r="I9" s="1">
        <f>AVERAGE(C2:C16)</f>
        <v>10.066666666666666</v>
      </c>
      <c r="J9" s="1" t="str">
        <f>INDEX($J$2:$J$5,MATCH(MAX($K$2:$K$5),$K$2:$K$5,0),1)</f>
        <v>Visual</v>
      </c>
      <c r="N9" s="1">
        <v>11</v>
      </c>
      <c r="O9" s="1">
        <v>82</v>
      </c>
    </row>
    <row r="10" spans="1:15" x14ac:dyDescent="0.45">
      <c r="A10" s="1">
        <v>109</v>
      </c>
      <c r="B10" s="1" t="s">
        <v>9</v>
      </c>
      <c r="C10" s="1">
        <v>14</v>
      </c>
      <c r="D10" s="1" t="s">
        <v>16</v>
      </c>
      <c r="E10" s="1" t="s">
        <v>14</v>
      </c>
      <c r="F10" s="1">
        <v>88</v>
      </c>
      <c r="I10" s="1">
        <f>ROUND(AVERAGE(C2:C16),2)</f>
        <v>10.07</v>
      </c>
      <c r="J10" s="1" t="str">
        <f>INDEX($J$2:$J$5,MATCH(MAX($K$2:$K$5),$K$2:$K$5,0))</f>
        <v>Visual</v>
      </c>
      <c r="N10" s="1">
        <v>16</v>
      </c>
      <c r="O10" s="1">
        <v>84</v>
      </c>
    </row>
    <row r="11" spans="1:15" x14ac:dyDescent="0.45">
      <c r="A11" s="1">
        <v>110</v>
      </c>
      <c r="B11" s="1" t="s">
        <v>6</v>
      </c>
      <c r="C11" s="1">
        <v>11</v>
      </c>
      <c r="D11" s="1" t="s">
        <v>13</v>
      </c>
      <c r="E11" s="1" t="s">
        <v>11</v>
      </c>
      <c r="F11" s="1">
        <v>82</v>
      </c>
      <c r="K11" s="1">
        <f>CORREL($C$2:$C$16,$F$2:$F$16)</f>
        <v>0.84621555000184756</v>
      </c>
      <c r="N11" s="1">
        <v>10</v>
      </c>
      <c r="O11" s="1">
        <v>85</v>
      </c>
    </row>
    <row r="12" spans="1:15" x14ac:dyDescent="0.45">
      <c r="A12" s="1">
        <v>111</v>
      </c>
      <c r="B12" s="1" t="s">
        <v>12</v>
      </c>
      <c r="C12" s="1">
        <v>13</v>
      </c>
      <c r="D12" s="1" t="s">
        <v>7</v>
      </c>
      <c r="E12" s="1" t="s">
        <v>8</v>
      </c>
      <c r="F12" s="1">
        <v>91</v>
      </c>
      <c r="K12" s="1">
        <f>ROUND(AVERAGE(C2:C16,F2:F16),1)</f>
        <v>45.6</v>
      </c>
      <c r="N12" s="1">
        <v>10</v>
      </c>
      <c r="O12" s="1">
        <v>86</v>
      </c>
    </row>
    <row r="13" spans="1:15" x14ac:dyDescent="0.45">
      <c r="A13" s="1">
        <v>112</v>
      </c>
      <c r="B13" s="1" t="s">
        <v>9</v>
      </c>
      <c r="C13" s="1">
        <v>9</v>
      </c>
      <c r="D13" s="1" t="s">
        <v>10</v>
      </c>
      <c r="E13" s="1" t="s">
        <v>8</v>
      </c>
      <c r="F13" s="1">
        <v>77</v>
      </c>
      <c r="N13" s="1">
        <v>14</v>
      </c>
      <c r="O13" s="1">
        <v>88</v>
      </c>
    </row>
    <row r="14" spans="1:15" x14ac:dyDescent="0.45">
      <c r="A14" s="1">
        <v>113</v>
      </c>
      <c r="B14" s="1" t="s">
        <v>6</v>
      </c>
      <c r="C14" s="1">
        <v>16</v>
      </c>
      <c r="D14" s="1" t="s">
        <v>16</v>
      </c>
      <c r="E14" s="1" t="s">
        <v>11</v>
      </c>
      <c r="F14" s="1">
        <v>84</v>
      </c>
      <c r="N14" s="1">
        <v>12</v>
      </c>
      <c r="O14" s="1">
        <v>90</v>
      </c>
    </row>
    <row r="15" spans="1:15" x14ac:dyDescent="0.45">
      <c r="A15" s="1">
        <v>114</v>
      </c>
      <c r="B15" s="1" t="s">
        <v>15</v>
      </c>
      <c r="C15" s="1">
        <v>6</v>
      </c>
      <c r="D15" s="1" t="s">
        <v>13</v>
      </c>
      <c r="E15" s="1" t="s">
        <v>8</v>
      </c>
      <c r="F15" s="1">
        <v>73</v>
      </c>
      <c r="H15" s="1" t="str">
        <f>_xlfn.XLOOKUP(MAX($I$2:$I$5), $I$2:$I$5,$J$2:$J$5,"",0.1)</f>
        <v>Auditory</v>
      </c>
      <c r="N15" s="1">
        <v>13</v>
      </c>
      <c r="O15" s="1">
        <v>91</v>
      </c>
    </row>
    <row r="16" spans="1:15" x14ac:dyDescent="0.45">
      <c r="A16" s="1">
        <v>115</v>
      </c>
      <c r="B16" s="1" t="s">
        <v>9</v>
      </c>
      <c r="C16" s="1">
        <v>10</v>
      </c>
      <c r="D16" s="1" t="s">
        <v>7</v>
      </c>
      <c r="E16" s="1" t="s">
        <v>14</v>
      </c>
      <c r="F16" s="1">
        <v>86</v>
      </c>
      <c r="N16" s="1">
        <v>15</v>
      </c>
      <c r="O16" s="1">
        <v>92</v>
      </c>
    </row>
  </sheetData>
  <sortState xmlns:xlrd2="http://schemas.microsoft.com/office/spreadsheetml/2017/richdata2" ref="N2:O16">
    <sortCondition ref="O2:O16"/>
  </sortState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selection activeCell="B7" sqref="B7"/>
    </sheetView>
  </sheetViews>
  <sheetFormatPr defaultRowHeight="14.5" x14ac:dyDescent="0.35"/>
  <sheetData>
    <row r="1" spans="1:5" x14ac:dyDescent="0.35">
      <c r="A1" t="s">
        <v>22</v>
      </c>
      <c r="B1" t="s">
        <v>23</v>
      </c>
      <c r="C1" t="s">
        <v>24</v>
      </c>
      <c r="D1" t="s">
        <v>25</v>
      </c>
      <c r="E1" t="s">
        <v>26</v>
      </c>
    </row>
    <row r="2" spans="1:5" x14ac:dyDescent="0.35">
      <c r="A2">
        <v>30</v>
      </c>
      <c r="B2">
        <v>50</v>
      </c>
      <c r="C2">
        <v>35</v>
      </c>
      <c r="D2">
        <v>40</v>
      </c>
      <c r="E2" t="s">
        <v>27</v>
      </c>
    </row>
    <row r="3" spans="1:5" x14ac:dyDescent="0.35">
      <c r="A3">
        <v>26</v>
      </c>
      <c r="B3">
        <v>33</v>
      </c>
      <c r="C3">
        <v>48</v>
      </c>
      <c r="D3">
        <v>37</v>
      </c>
      <c r="E3" t="s">
        <v>28</v>
      </c>
    </row>
    <row r="4" spans="1:5" x14ac:dyDescent="0.35">
      <c r="A4">
        <v>18</v>
      </c>
      <c r="B4">
        <v>25</v>
      </c>
      <c r="C4">
        <v>62</v>
      </c>
      <c r="D4">
        <v>43</v>
      </c>
      <c r="E4" t="s">
        <v>29</v>
      </c>
    </row>
    <row r="7" spans="1:5" x14ac:dyDescent="0.35">
      <c r="B7">
        <f>INDEX($A$2:$D$4,MATCH("belo",$E$2:$E$4,0),MATCH("phy",$A$1:$D$1,0))</f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class_survey_results_v2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precious Alazigha</dc:creator>
  <cp:lastModifiedBy>USER</cp:lastModifiedBy>
  <dcterms:created xsi:type="dcterms:W3CDTF">2026-05-15T09:21:43Z</dcterms:created>
  <dcterms:modified xsi:type="dcterms:W3CDTF">2026-06-18T10:09:25Z</dcterms:modified>
</cp:coreProperties>
</file>